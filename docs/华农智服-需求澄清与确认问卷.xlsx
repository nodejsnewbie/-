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po\hnhall\docs\"/>
    </mc:Choice>
  </mc:AlternateContent>
  <bookViews>
    <workbookView windowWidth="27945" windowHeight="12255" activeTab="2"/>
  </bookViews>
  <sheets>
    <sheet name="填写说明" sheetId="1" r:id="rId1"/>
    <sheet name="L1-需求本质" sheetId="2" r:id="rId2"/>
    <sheet name="L2-业务范围与流程" sheetId="3" r:id="rId3"/>
    <sheet name="L3-规则与算法" sheetId="4" r:id="rId4"/>
    <sheet name="L4-数据与集成" sheetId="5" r:id="rId5"/>
    <sheet name="填写进度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<sst xmlns="http://schemas.openxmlformats.org/spreadsheetml/2006/main" count="265" uniqueCount="185">
  <si>
    <t>华农智服 · 需求澄清与确认问卷</t>
  </si>
  <si>
    <t>用途：把我们对需求的理解摆出来，请您确认或纠正。确认过的部分我们才会进入详细需求文档。</t>
  </si>
  <si>
    <t>分层说明</t>
  </si>
  <si>
    <t>共 4 层，请按顺序填，不要跳层：</t>
  </si>
  <si>
    <t>L1 需求本质（7 题）→ L2 业务范围与流程（14 题）→ L3 规则与算法（16 题）→ L4 数据与集成（11 题）</t>
  </si>
  <si>
    <t>★ 请先只填 L1。L1 确认后我们再一起看 L2，避免一次面对几十个细节问题。</t>
  </si>
  <si>
    <t>填写方法</t>
  </si>
  <si>
    <t>每题只需两步：</t>
  </si>
  <si>
    <t>第 1 步：看「我们的理解」这一列，在下拉里选「一致」或「不一致」。</t>
  </si>
  <si>
    <t>第 2 步：选「不一致」的，在「请填写你的答案 / 修正」列写出正确做法。</t>
  </si>
  <si>
    <t>「我们的理解」仅供参考，写错的请直接改，不用顾虑。</t>
  </si>
  <si>
    <t>重要度</t>
  </si>
  <si>
    <t>必答 = 不确认无法继续设计；建议答 = 影响方案质量；可选 = 有则更好。</t>
  </si>
  <si>
    <t>如果某一题暂时答不上来，可在「补充说明」里写「待内部确认」，不必空着。</t>
  </si>
  <si>
    <t>下拉含义</t>
  </si>
  <si>
    <t>一致 = 我们的理解和实际一致；不一致 = 请在第 5 列写正确做法；</t>
  </si>
  <si>
    <t>不确定 = 需要再核实；不适用 = 本业务不涉及这一项。</t>
  </si>
  <si>
    <t>填写进度可在「填写进度」工作表查看（自动统计，不用手填）。</t>
  </si>
  <si>
    <t>第一层：需求本质</t>
  </si>
  <si>
    <t>★ 请先填写本表。这一层只谈「为什么做、给谁做、现在怎么做、做成什么样」，不涉及任何明细规则。本表确认后，我们再发下一层。共 7 题。</t>
  </si>
  <si>
    <t>序号</t>
  </si>
  <si>
    <t>问题</t>
  </si>
  <si>
    <t>我们的理解（供参考，可直接确认或改写）</t>
  </si>
  <si>
    <t>是否一致</t>
  </si>
  <si>
    <t>请填写你的答案 / 修正</t>
  </si>
  <si>
    <t>补充说明（可选）</t>
  </si>
  <si>
    <t>一、为什么做、给谁做</t>
  </si>
  <si>
    <t>L1-01</t>
  </si>
  <si>
    <t>这个平台，如果只能先解决一件事，您最想解决的是哪一件？</t>
  </si>
  <si>
    <t>会议纪要里提到「扩大宣传辐射范围」和「提高服务响应影响力」两个方向，但没说哪个更急、是不是同一件事。</t>
  </si>
  <si>
    <t>必答</t>
  </si>
  <si>
    <t>L1-02</t>
  </si>
  <si>
    <t>平台上线后，主要哪些岗位的人会每天使用？由谁最终拍板决定需求？</t>
  </si>
  <si>
    <t>我们目前按「只有两个岗位：企业运营管理员、区域督导」来设想，并且认为不单独设资质审核员和财务角色。</t>
  </si>
  <si>
    <t>L1-03</t>
  </si>
  <si>
    <t>现在没有这个系统的时候，这些事是怎么做的？（农户怎么找到技师、服务完谁记一笔、钱怎么结）</t>
  </si>
  <si>
    <t>我们不了解现状流程。目前系统里的流程大部分是我们推测出来的，这一题最能纠正我们的理解。</t>
  </si>
  <si>
    <t>二、做成什么样</t>
  </si>
  <si>
    <t>L1-04</t>
  </si>
  <si>
    <t>平台要包含哪几类服务？</t>
  </si>
  <si>
    <t>我们目前按五类设想：① 上门植保诊断 ② 农资上门配送与维保 ③ 飞防（无人机）作业 ④ 农机巡检维保 ⑤ 土壤检测。</t>
  </si>
  <si>
    <t>L1-05</t>
  </si>
  <si>
    <t>第一个版本上线时，您希望先把哪一段跑通？</t>
  </si>
  <si>
    <t>本期交付 三端：企业后台 + 技师端小程序 + 农户端小程序，不含线上商城</t>
  </si>
  <si>
    <t>L1-06</t>
  </si>
  <si>
    <t>一年以后，平台做到什么程度您认为就算成功了？</t>
  </si>
  <si>
    <t>纪要只有方向（辐射范围、服务响应影响力），没有可衡量的标准。</t>
  </si>
  <si>
    <t>L1-07</t>
  </si>
  <si>
    <t>有没有硬性约束？（上线时间、监管检查要求、预算上限）</t>
  </si>
  <si>
    <t>只知道「地图定位因年费约 5 万暂不做」，其它约束不清楚。</t>
  </si>
  <si>
    <t>第二层：业务范围与主流程</t>
  </si>
  <si>
    <t>建议在 L1 确认后再填本表。本层确定「每类服务怎么跑、三个端各干什么、谁和谁配合」。共 14 题。</t>
  </si>
  <si>
    <t>一、服务与下单</t>
  </si>
  <si>
    <t>L2-01</t>
  </si>
  <si>
    <t>每一类服务，从接到需求到完成的完整流程是什么？</t>
  </si>
  <si>
    <t>不了解。目前系统里的流程是推测的。</t>
  </si>
  <si>
    <t>L2-02</t>
  </si>
  <si>
    <t>农户通过什么方式下单 / 报单？需要提供哪些信息？</t>
  </si>
  <si>
    <t>我们按「作物、面积、病虫害症状、照片、位置」设想。</t>
  </si>
  <si>
    <t>L2-03</t>
  </si>
  <si>
    <t>服务怎么定价？（按亩 / 按次 / 按工时 / 其它）</t>
  </si>
  <si>
    <t>不清楚。定价方式会直接影响结算口径。</t>
  </si>
  <si>
    <t>L2-04</t>
  </si>
  <si>
    <t>一个技师一天大概能接几单？有没有上限？</t>
  </si>
  <si>
    <t>原型里写「每天最多 4 单」，那个数字是猜的。</t>
  </si>
  <si>
    <t>建议答</t>
  </si>
  <si>
    <t>二、派单与履约</t>
  </si>
  <si>
    <t>L2-05</t>
  </si>
  <si>
    <t>派单是人工挑人，还是系统推荐后人工确认？</t>
  </si>
  <si>
    <t>我们按「系统按网格内候选排序、人工确认后派单」设想。</t>
  </si>
  <si>
    <t>L2-06</t>
  </si>
  <si>
    <t>技师可以拒单吗？</t>
  </si>
  <si>
    <t>不清楚。</t>
  </si>
  <si>
    <t>可选</t>
  </si>
  <si>
    <t>L2-07</t>
  </si>
  <si>
    <t>服务「完成」以什么为准？（农户签字 / 拍照 / 系统点完成）</t>
  </si>
  <si>
    <t>我们倾向「农户签字验收」。</t>
  </si>
  <si>
    <t>L2-08</t>
  </si>
  <si>
    <t>农户签字验收这个功能，本期就要做吗？</t>
  </si>
  <si>
    <t>不确定。它是分红结算的触发点——不做的话本期就没法自动结算。</t>
  </si>
  <si>
    <t>L2-09</t>
  </si>
  <si>
    <t>电子处方（开方）是真实存在的环节吗？必须先开方才能算完成吗？</t>
  </si>
  <si>
    <t>我们猜测存在，且是结算的前置条件（不开方不算完成）。</t>
  </si>
  <si>
    <t>L2-10</t>
  </si>
  <si>
    <t>服务过程中，技师需要在系统里上传什么？（到场打卡、现场照片、用药量与配方等）</t>
  </si>
  <si>
    <t>我们按「到场打卡 + 现场照片」设想。</t>
  </si>
  <si>
    <t>L2-11</t>
  </si>
  <si>
    <t>什么情况算异常工单？出现了怎么处理？</t>
  </si>
  <si>
    <t>原型里写「接单超时预警后紧急改派」，那是猜的。</t>
  </si>
  <si>
    <t>L2-12</t>
  </si>
  <si>
    <t>农户投诉或纠纷怎么处理？</t>
  </si>
  <si>
    <t>不清楚。如果要按服务质量扣减分红，就必须有申诉渠道。</t>
  </si>
  <si>
    <t>三、组织与分工</t>
  </si>
  <si>
    <t>L2-13</t>
  </si>
  <si>
    <t>三个端（企业后台、技师端、农户端）分别给谁用、各做什么？</t>
  </si>
  <si>
    <t>我们按此设想：后台做管理与审核；技师端接单、打卡、开方；农户端下单、查进度、验收、扫码验真。</t>
  </si>
  <si>
    <t>L2-14</t>
  </si>
  <si>
    <t>区域怎么划分？（比如县 → 乡镇 / 网格？）派单按什么范围匹配？</t>
  </si>
  <si>
    <t>我们按「县 → 网格」两级设想。</t>
  </si>
  <si>
    <t>第三层：规则与算法</t>
  </si>
  <si>
    <t>建议 L1、L2 确认后再填。本层确定资质怎么审、分红怎么算、合规怎么落。共 16 题。</t>
  </si>
  <si>
    <t>一、资质与合规</t>
  </si>
  <si>
    <t>L3-01</t>
  </si>
  <si>
    <t>技师的资质由谁审、多长时间审一次？</t>
  </si>
  <si>
    <t>我们按「企业运营管理员人工审核」设想。</t>
  </si>
  <si>
    <t>L3-02</t>
  </si>
  <si>
    <t>审核时具体看哪些项？</t>
  </si>
  <si>
    <t>我们按「证件真伪、有效期、许可经营范围与作业类型是否匹配、发证机关」设想。</t>
  </si>
  <si>
    <t>L3-03</t>
  </si>
  <si>
    <t>许可证到期怎么办？过期后还能接单吗？</t>
  </si>
  <si>
    <t>我们按「过期即不能接单，且当月不计分红」设想。</t>
  </si>
  <si>
    <t>L3-04</t>
  </si>
  <si>
    <t>是否已经具备对接国家 / 省级监管系统的资质和接口？</t>
  </si>
  <si>
    <t>目前的说法是「正在申请中」。</t>
  </si>
  <si>
    <t>L3-05</t>
  </si>
  <si>
    <t>一物一码溯源，监管上具体有什么要求？（怎么赋码、要不要上报）</t>
  </si>
  <si>
    <t>只知道「市场监管合规上货」，具体要求不清楚。</t>
  </si>
  <si>
    <t>L3-06</t>
  </si>
  <si>
    <t>需不需要做窜货预警、批次冻结？</t>
  </si>
  <si>
    <t>我们目前按「本期不做、二期再说」设想。</t>
  </si>
  <si>
    <t>二、分红与结算</t>
  </si>
  <si>
    <t>L3-07</t>
  </si>
  <si>
    <t>分红的钱从哪里来？</t>
  </si>
  <si>
    <t>我们按「只来自服务收入分成」设想——不含卖产品的提成，不含团队或公司的利润分配。</t>
  </si>
  <si>
    <t>L3-08</t>
  </si>
  <si>
    <t>现在有没有成文的分成 / 激励制度文件？能不能提供一份？</t>
  </si>
  <si>
    <t>之前的说法是「有想法，但还没写成文件」。</t>
  </si>
  <si>
    <t>L3-09</t>
  </si>
  <si>
    <t>「让新农人成立股东」——是真股权（要办工商登记），还是只分钱的虚拟分红权？</t>
  </si>
  <si>
    <t>我们按「虚拟分红权、不涉及工商登记」设想。这一条差别很大：真股权要走公司法与工商变更。</t>
  </si>
  <si>
    <t>L3-10</t>
  </si>
  <si>
    <t>分红基数里的「服务费」指什么？包含农资销售金额吗？</t>
  </si>
  <si>
    <t>我们按「只算服务部分、不含农资」设想。</t>
  </si>
  <si>
    <t>L3-11</t>
  </si>
  <si>
    <t>农资成本怎么分摊到单张工单上？</t>
  </si>
  <si>
    <t>不清楚。这一条不定下来，上面的「只算服务部分」就算不出来。</t>
  </si>
  <si>
    <t>L3-12</t>
  </si>
  <si>
    <t>分红分几档？按什么分档？各档系数是多少？</t>
  </si>
  <si>
    <t>我们建议：按滚动 12 个月累计服务费分 4 档，系数 1.00 / 1.10 / 1.20 / 1.30。—— 这是我们的建议值，不是既有制度，请务必修正或确认。</t>
  </si>
  <si>
    <t>L3-13</t>
  </si>
  <si>
    <t>结算周期和结算日？（比如月结，次月几号）</t>
  </si>
  <si>
    <t>我们按「月结」设想，具体日子没定。</t>
  </si>
  <si>
    <t>L3-14</t>
  </si>
  <si>
    <t>分红按什么税目代扣代缴个税？</t>
  </si>
  <si>
    <t>我们按「劳务报酬所得、由公司代扣代缴」设想。这一条建议请财务确认。</t>
  </si>
  <si>
    <t>L3-15</t>
  </si>
  <si>
    <t>有没有单人月度封顶？服务质量差要不要扣减分红？怎么申诉？</t>
  </si>
  <si>
    <t>L3-16</t>
  </si>
  <si>
    <t>分红通过什么渠道发放？</t>
  </si>
  <si>
    <t>我们按「银行银企直联批量代发」设想。</t>
  </si>
  <si>
    <t>第四层：数据与集成</t>
  </si>
  <si>
    <t>最后一层，偏技术细节，也可以请 IT 或对接人填。共 11 题。</t>
  </si>
  <si>
    <t>一、基础数据</t>
  </si>
  <si>
    <t>L4-01</t>
  </si>
  <si>
    <t>有没有现成的区域 / 网格划分表？能提供吗？</t>
  </si>
  <si>
    <t>L4-02</t>
  </si>
  <si>
    <t>技师名录和证件资料现在在哪里？以什么形式提供？</t>
  </si>
  <si>
    <t>L4-03</t>
  </si>
  <si>
    <t>「30 多个产品」的清单和农药登记证号，能提供吗？</t>
  </si>
  <si>
    <t>L4-04</t>
  </si>
  <si>
    <t>历史服务记录需要导入系统吗？</t>
  </si>
  <si>
    <t>L4-05</t>
  </si>
  <si>
    <t>各类编号规则（技师编号、工单号、批次号、溯源码）现在怎么编的？</t>
  </si>
  <si>
    <t>原型里的编号格式是我们编造的，没有依据。</t>
  </si>
  <si>
    <t>二、端与集成</t>
  </si>
  <si>
    <t>L4-06</t>
  </si>
  <si>
    <t>技师端和农户端用微信小程序吗？账号怎么登录（手机号 / 微信授权）？</t>
  </si>
  <si>
    <t>我们按「微信小程序」设想，登录方式未定。</t>
  </si>
  <si>
    <t>L4-07</t>
  </si>
  <si>
    <t>消息通知走什么渠道？（短信 / 微信模板消息 / App 推送）</t>
  </si>
  <si>
    <t>L4-08</t>
  </si>
  <si>
    <t>需要和现有系统对接吗？（ERP、进销存、企业微信等）</t>
  </si>
  <si>
    <t>L4-09</t>
  </si>
  <si>
    <t>部署在哪里？（自有服务器 / 云）</t>
  </si>
  <si>
    <t>L4-10</t>
  </si>
  <si>
    <t>数据需要保存多久？农户个人信息（手机号、身份证、地块）有什么合规要求？</t>
  </si>
  <si>
    <t>L4-11</t>
  </si>
  <si>
    <t>首批上线覆盖哪个县、多少名技师、多少农户？</t>
  </si>
  <si>
    <t>我们按「单县试点、30–50 名技师」设想。</t>
  </si>
  <si>
    <t>层次</t>
  </si>
  <si>
    <t>题数</t>
  </si>
  <si>
    <t>已回复（是否一致已选）</t>
  </si>
  <si>
    <t>已写明修正</t>
  </si>
  <si>
    <t>完成度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</si>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</sst>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0.5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0"/>
      <color rgb="FF404040"/>
      <name val="宋体"/>
      <charset val="134"/>
      <scheme val="minor"/>
    </font>
    <font>
      <b/>
      <sz val="11"/>
      <color rgb="FF004425"/>
      <name val="宋体"/>
      <charset val="134"/>
      <scheme val="minor"/>
    </font>
    <font>
      <b/>
      <sz val="10"/>
      <color rgb="FFC00000"/>
      <name val="宋体"/>
      <charset val="134"/>
      <scheme val="minor"/>
    </font>
    <font>
      <b/>
      <sz val="10"/>
      <color rgb="FFBF6000"/>
      <name val="宋体"/>
      <charset val="134"/>
      <scheme val="minor"/>
    </font>
    <font>
      <b/>
      <sz val="10"/>
      <color rgb="FF808080"/>
      <name val="宋体"/>
      <charset val="134"/>
      <scheme val="minor"/>
    </font>
    <font>
      <b/>
      <sz val="16"/>
      <color rgb="FF004425"/>
      <name val="宋体"/>
      <charset val="134"/>
      <scheme val="minor"/>
    </font>
    <font>
      <sz val="11"/>
      <color rgb="FF404040"/>
      <name val="宋体"/>
      <charset val="134"/>
      <scheme val="minor"/>
    </font>
    <font>
      <b/>
      <sz val="10.5"/>
      <name val="宋体"/>
      <charset val="134"/>
      <scheme val="minor"/>
    </font>
    <font>
      <sz val="10.5"/>
      <name val="宋体"/>
      <charset val="134"/>
      <scheme val="minor"/>
    </font>
    <font>
      <i/>
      <sz val="10"/>
      <color rgb="FF808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4425"/>
        <bgColor indexed="64"/>
      </patternFill>
    </fill>
    <fill>
      <patternFill patternType="solid">
        <fgColor rgb="FFF4F6F4"/>
        <bgColor indexed="64"/>
      </patternFill>
    </fill>
    <fill>
      <patternFill patternType="solid">
        <fgColor rgb="FFE8F0EA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6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8" borderId="5" applyNumberFormat="0" applyAlignment="0" applyProtection="0">
      <alignment vertical="center"/>
    </xf>
    <xf numFmtId="0" fontId="26" fillId="9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wrapText="1" indent="1"/>
    </xf>
    <xf numFmtId="0" fontId="5" fillId="4" borderId="1" xfId="0" applyFont="1" applyFill="1" applyBorder="1" applyAlignment="1">
      <alignment horizontal="left" vertical="center" inden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vertical="center" wrapText="1"/>
    </xf>
    <xf numFmtId="0" fontId="5" fillId="4" borderId="1" xfId="0" applyFont="1" applyFill="1" applyBorder="1" applyAlignment="1">
      <alignment vertical="top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20"/>
  <sheetViews>
    <sheetView workbookViewId="0">
      <selection activeCell="B17" sqref="B17"/>
    </sheetView>
  </sheetViews>
  <sheetFormatPr defaultColWidth="9" defaultRowHeight="13.5" outlineLevelCol="2"/>
  <cols>
    <col min="1" max="1" width="4" customWidth="1"/>
    <col min="2" max="2" width="22" customWidth="1"/>
    <col min="3" max="3" width="78" customWidth="1"/>
  </cols>
  <sheetData>
    <row r="2" ht="32" customHeight="1" spans="2:3">
      <c r="B2" s="17" t="s">
        <v>0</v>
      </c>
    </row>
    <row r="3" ht="30" customHeight="1" spans="2:3">
      <c r="B3" s="18" t="s">
        <v>1</v>
      </c>
    </row>
    <row r="5" ht="24" customHeight="1" spans="2:3">
      <c r="B5" s="19" t="s">
        <v>2</v>
      </c>
      <c r="C5" s="20" t="s">
        <v>3</v>
      </c>
    </row>
    <row r="6" ht="34" customHeight="1" spans="2:3">
      <c r="B6" s="10"/>
      <c r="C6" s="21" t="s">
        <v>4</v>
      </c>
    </row>
    <row r="7" ht="24" customHeight="1" spans="2:3">
      <c r="B7" s="10"/>
      <c r="C7" s="21" t="s">
        <v>5</v>
      </c>
    </row>
    <row r="8" ht="24" customHeight="1" spans="2:3">
      <c r="B8" s="19" t="s">
        <v>6</v>
      </c>
      <c r="C8" s="20" t="s">
        <v>7</v>
      </c>
    </row>
    <row r="9" ht="24" customHeight="1" spans="2:3">
      <c r="B9" s="10"/>
      <c r="C9" s="21" t="s">
        <v>8</v>
      </c>
    </row>
    <row r="10" ht="24" customHeight="1" spans="2:3">
      <c r="B10" s="10"/>
      <c r="C10" s="21" t="s">
        <v>9</v>
      </c>
    </row>
    <row r="11" ht="24" customHeight="1" spans="2:3">
      <c r="B11" s="10"/>
      <c r="C11" s="21" t="s">
        <v>10</v>
      </c>
    </row>
    <row r="12" ht="24" customHeight="1" spans="2:3">
      <c r="B12" s="19" t="s">
        <v>11</v>
      </c>
      <c r="C12" s="20" t="s">
        <v>12</v>
      </c>
    </row>
    <row r="13" ht="24" customHeight="1" spans="2:3">
      <c r="B13" s="10"/>
      <c r="C13" s="21" t="s">
        <v>13</v>
      </c>
    </row>
    <row r="14" ht="24" customHeight="1" spans="2:3">
      <c r="B14" s="19" t="s">
        <v>14</v>
      </c>
      <c r="C14" s="20" t="s">
        <v>15</v>
      </c>
    </row>
    <row r="15" ht="24" customHeight="1" spans="2:3">
      <c r="B15" s="10"/>
      <c r="C15" s="21" t="s">
        <v>16</v>
      </c>
    </row>
    <row r="16" ht="24" customHeight="1" spans="2:3">
      <c r="B16" s="19"/>
      <c r="C16" s="20"/>
    </row>
    <row r="17" ht="34" customHeight="1" spans="2:3">
      <c r="B17" s="10"/>
      <c r="C17" s="21"/>
    </row>
    <row r="18" ht="24" customHeight="1" spans="2:3">
      <c r="B18" s="10"/>
      <c r="C18" s="21"/>
    </row>
    <row r="20" spans="2:3">
      <c r="B20" s="22" t="s">
        <v>17</v>
      </c>
    </row>
  </sheetData>
  <mergeCells count="3">
    <mergeCell ref="B2:C2"/>
    <mergeCell ref="B3:C3"/>
    <mergeCell ref="B20:C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pane ySplit="3" topLeftCell="A4" activePane="bottomLeft" state="frozen"/>
      <selection/>
      <selection pane="bottomLeft" activeCell="C15" sqref="C15"/>
    </sheetView>
  </sheetViews>
  <sheetFormatPr defaultColWidth="9" defaultRowHeight="13.5" outlineLevelCol="6"/>
  <cols>
    <col min="1" max="1" width="9" customWidth="1"/>
    <col min="2" max="2" width="38" customWidth="1"/>
    <col min="3" max="3" width="50" customWidth="1"/>
    <col min="4" max="4" width="15" customWidth="1"/>
    <col min="5" max="5" width="40" customWidth="1"/>
    <col min="6" max="6" width="24" customWidth="1"/>
    <col min="7" max="7" width="9" customWidth="1"/>
  </cols>
  <sheetData>
    <row r="1" ht="32" customHeight="1" spans="1:7">
      <c r="A1" s="7" t="s">
        <v>18</v>
      </c>
    </row>
    <row r="2" ht="34" customHeight="1" spans="1:7">
      <c r="A2" s="8" t="s">
        <v>19</v>
      </c>
    </row>
    <row r="3" ht="26" customHeight="1" spans="1:7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11</v>
      </c>
    </row>
    <row r="4" ht="22" customHeight="1" spans="1:7">
      <c r="A4" s="9" t="s">
        <v>26</v>
      </c>
      <c r="B4" s="10"/>
      <c r="C4" s="10"/>
      <c r="D4" s="10"/>
      <c r="E4" s="10"/>
      <c r="F4" s="10"/>
      <c r="G4" s="10"/>
    </row>
    <row r="5" ht="38" customHeight="1" spans="1:7">
      <c r="A5" s="2" t="s">
        <v>27</v>
      </c>
      <c r="B5" s="11" t="s">
        <v>28</v>
      </c>
      <c r="C5" s="11" t="s">
        <v>29</v>
      </c>
      <c r="D5" s="12"/>
      <c r="E5" s="13"/>
      <c r="F5" s="13"/>
      <c r="G5" s="14" t="s">
        <v>30</v>
      </c>
    </row>
    <row r="6" ht="38" customHeight="1" spans="1:7">
      <c r="A6" s="2" t="s">
        <v>31</v>
      </c>
      <c r="B6" s="11" t="s">
        <v>32</v>
      </c>
      <c r="C6" s="11" t="s">
        <v>33</v>
      </c>
      <c r="D6" s="12"/>
      <c r="E6" s="13"/>
      <c r="F6" s="13"/>
      <c r="G6" s="14" t="s">
        <v>30</v>
      </c>
    </row>
    <row r="7" ht="53" customHeight="1" spans="1:7">
      <c r="A7" s="2" t="s">
        <v>34</v>
      </c>
      <c r="B7" s="11" t="s">
        <v>35</v>
      </c>
      <c r="C7" s="11" t="s">
        <v>36</v>
      </c>
      <c r="D7" s="12"/>
      <c r="E7" s="13"/>
      <c r="F7" s="13"/>
      <c r="G7" s="14" t="s">
        <v>30</v>
      </c>
    </row>
    <row r="8" ht="22" customHeight="1" spans="1:7">
      <c r="A8" s="9" t="s">
        <v>37</v>
      </c>
      <c r="B8" s="10"/>
      <c r="C8" s="10"/>
      <c r="D8" s="10"/>
      <c r="E8" s="10"/>
      <c r="F8" s="10"/>
      <c r="G8" s="10"/>
    </row>
    <row r="9" ht="53" customHeight="1" spans="1:7">
      <c r="A9" s="2" t="s">
        <v>38</v>
      </c>
      <c r="B9" s="11" t="s">
        <v>39</v>
      </c>
      <c r="C9" s="11" t="s">
        <v>40</v>
      </c>
      <c r="D9" s="12"/>
      <c r="E9" s="13"/>
      <c r="F9" s="13"/>
      <c r="G9" s="14" t="s">
        <v>30</v>
      </c>
    </row>
    <row r="10" ht="38" customHeight="1" spans="1:7">
      <c r="A10" s="2" t="s">
        <v>41</v>
      </c>
      <c r="B10" s="11" t="s">
        <v>42</v>
      </c>
      <c r="C10" s="11" t="s">
        <v>43</v>
      </c>
      <c r="D10" s="12"/>
      <c r="E10" s="13"/>
      <c r="F10" s="13"/>
      <c r="G10" s="14" t="s">
        <v>30</v>
      </c>
    </row>
    <row r="11" ht="38" customHeight="1" spans="1:7">
      <c r="A11" s="2" t="s">
        <v>44</v>
      </c>
      <c r="B11" s="11" t="s">
        <v>45</v>
      </c>
      <c r="C11" s="11" t="s">
        <v>46</v>
      </c>
      <c r="D11" s="12"/>
      <c r="E11" s="13"/>
      <c r="F11" s="13"/>
      <c r="G11" s="14" t="s">
        <v>30</v>
      </c>
    </row>
    <row r="12" ht="38" customHeight="1" spans="1:7">
      <c r="A12" s="2" t="s">
        <v>47</v>
      </c>
      <c r="B12" s="11" t="s">
        <v>48</v>
      </c>
      <c r="C12" s="11" t="s">
        <v>49</v>
      </c>
      <c r="D12" s="12"/>
      <c r="E12" s="13"/>
      <c r="F12" s="13"/>
      <c r="G12" s="14" t="s">
        <v>30</v>
      </c>
    </row>
  </sheetData>
  <mergeCells count="4">
    <mergeCell ref="A1:G1"/>
    <mergeCell ref="A2:G2"/>
    <mergeCell ref="A4:G4"/>
    <mergeCell ref="A8:G8"/>
  </mergeCells>
  <dataValidations count="1">
    <dataValidation type="list" allowBlank="1" errorTitle="输入无效" error="请从下拉列表中选择" sqref="D5:D7 D9:D12">
      <formula1>"一致,不一致（见E列）,不确定,不适用"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pane ySplit="3" topLeftCell="A4" activePane="bottomLeft" state="frozen"/>
      <selection/>
      <selection pane="bottomLeft" activeCell="A1" sqref="A1:G1"/>
    </sheetView>
  </sheetViews>
  <sheetFormatPr defaultColWidth="9" defaultRowHeight="13.5" outlineLevelCol="6"/>
  <cols>
    <col min="1" max="1" width="9" customWidth="1"/>
    <col min="2" max="2" width="38" customWidth="1"/>
    <col min="3" max="3" width="50" customWidth="1"/>
    <col min="4" max="4" width="15" customWidth="1"/>
    <col min="5" max="5" width="40" customWidth="1"/>
    <col min="6" max="6" width="24" customWidth="1"/>
    <col min="7" max="7" width="9" customWidth="1"/>
  </cols>
  <sheetData>
    <row r="1" ht="32" customHeight="1" spans="1:7">
      <c r="A1" s="7" t="s">
        <v>50</v>
      </c>
    </row>
    <row r="2" ht="34" customHeight="1" spans="1:7">
      <c r="A2" s="8" t="s">
        <v>51</v>
      </c>
    </row>
    <row r="3" ht="26" customHeight="1" spans="1:7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11</v>
      </c>
    </row>
    <row r="4" ht="22" customHeight="1" spans="1:7">
      <c r="A4" s="9" t="s">
        <v>52</v>
      </c>
      <c r="B4" s="10"/>
      <c r="C4" s="10"/>
      <c r="D4" s="10"/>
      <c r="E4" s="10"/>
      <c r="F4" s="10"/>
      <c r="G4" s="10"/>
    </row>
    <row r="5" ht="38" customHeight="1" spans="1:7">
      <c r="A5" s="2" t="s">
        <v>53</v>
      </c>
      <c r="B5" s="11" t="s">
        <v>54</v>
      </c>
      <c r="C5" s="11" t="s">
        <v>55</v>
      </c>
      <c r="D5" s="12"/>
      <c r="E5" s="13"/>
      <c r="F5" s="13"/>
      <c r="G5" s="14" t="s">
        <v>30</v>
      </c>
    </row>
    <row r="6" ht="38" customHeight="1" spans="1:7">
      <c r="A6" s="2" t="s">
        <v>56</v>
      </c>
      <c r="B6" s="11" t="s">
        <v>57</v>
      </c>
      <c r="C6" s="11" t="s">
        <v>58</v>
      </c>
      <c r="D6" s="12"/>
      <c r="E6" s="13"/>
      <c r="F6" s="13"/>
      <c r="G6" s="14" t="s">
        <v>30</v>
      </c>
    </row>
    <row r="7" ht="38" customHeight="1" spans="1:7">
      <c r="A7" s="2" t="s">
        <v>59</v>
      </c>
      <c r="B7" s="11" t="s">
        <v>60</v>
      </c>
      <c r="C7" s="11" t="s">
        <v>61</v>
      </c>
      <c r="D7" s="12"/>
      <c r="E7" s="13"/>
      <c r="F7" s="13"/>
      <c r="G7" s="14" t="s">
        <v>30</v>
      </c>
    </row>
    <row r="8" ht="38" customHeight="1" spans="1:7">
      <c r="A8" s="2" t="s">
        <v>62</v>
      </c>
      <c r="B8" s="11" t="s">
        <v>63</v>
      </c>
      <c r="C8" s="11" t="s">
        <v>64</v>
      </c>
      <c r="D8" s="12"/>
      <c r="E8" s="13"/>
      <c r="F8" s="13"/>
      <c r="G8" s="15" t="s">
        <v>65</v>
      </c>
    </row>
    <row r="9" ht="22" customHeight="1" spans="1:7">
      <c r="A9" s="9" t="s">
        <v>66</v>
      </c>
      <c r="B9" s="10"/>
      <c r="C9" s="10"/>
      <c r="D9" s="10"/>
      <c r="E9" s="10"/>
      <c r="F9" s="10"/>
      <c r="G9" s="10"/>
    </row>
    <row r="10" ht="38" customHeight="1" spans="1:7">
      <c r="A10" s="2" t="s">
        <v>67</v>
      </c>
      <c r="B10" s="11" t="s">
        <v>68</v>
      </c>
      <c r="C10" s="11" t="s">
        <v>69</v>
      </c>
      <c r="D10" s="12"/>
      <c r="E10" s="13"/>
      <c r="F10" s="13"/>
      <c r="G10" s="15" t="s">
        <v>65</v>
      </c>
    </row>
    <row r="11" ht="38" customHeight="1" spans="1:7">
      <c r="A11" s="2" t="s">
        <v>70</v>
      </c>
      <c r="B11" s="11" t="s">
        <v>71</v>
      </c>
      <c r="C11" s="11" t="s">
        <v>72</v>
      </c>
      <c r="D11" s="12"/>
      <c r="E11" s="13"/>
      <c r="F11" s="13"/>
      <c r="G11" s="16" t="s">
        <v>73</v>
      </c>
    </row>
    <row r="12" ht="38" customHeight="1" spans="1:7">
      <c r="A12" s="2" t="s">
        <v>74</v>
      </c>
      <c r="B12" s="11" t="s">
        <v>75</v>
      </c>
      <c r="C12" s="11" t="s">
        <v>76</v>
      </c>
      <c r="D12" s="12"/>
      <c r="E12" s="13"/>
      <c r="F12" s="13"/>
      <c r="G12" s="14" t="s">
        <v>30</v>
      </c>
    </row>
    <row r="13" ht="38" customHeight="1" spans="1:7">
      <c r="A13" s="2" t="s">
        <v>77</v>
      </c>
      <c r="B13" s="11" t="s">
        <v>78</v>
      </c>
      <c r="C13" s="11" t="s">
        <v>79</v>
      </c>
      <c r="D13" s="12"/>
      <c r="E13" s="13"/>
      <c r="F13" s="13"/>
      <c r="G13" s="14" t="s">
        <v>30</v>
      </c>
    </row>
    <row r="14" ht="38" customHeight="1" spans="1:7">
      <c r="A14" s="2" t="s">
        <v>80</v>
      </c>
      <c r="B14" s="11" t="s">
        <v>81</v>
      </c>
      <c r="C14" s="11" t="s">
        <v>82</v>
      </c>
      <c r="D14" s="12"/>
      <c r="E14" s="13"/>
      <c r="F14" s="13"/>
      <c r="G14" s="14" t="s">
        <v>30</v>
      </c>
    </row>
    <row r="15" ht="38" customHeight="1" spans="1:7">
      <c r="A15" s="2" t="s">
        <v>83</v>
      </c>
      <c r="B15" s="11" t="s">
        <v>84</v>
      </c>
      <c r="C15" s="11" t="s">
        <v>85</v>
      </c>
      <c r="D15" s="12"/>
      <c r="E15" s="13"/>
      <c r="F15" s="13"/>
      <c r="G15" s="15" t="s">
        <v>65</v>
      </c>
    </row>
    <row r="16" ht="38" customHeight="1" spans="1:7">
      <c r="A16" s="2" t="s">
        <v>86</v>
      </c>
      <c r="B16" s="11" t="s">
        <v>87</v>
      </c>
      <c r="C16" s="11" t="s">
        <v>88</v>
      </c>
      <c r="D16" s="12"/>
      <c r="E16" s="13"/>
      <c r="F16" s="13"/>
      <c r="G16" s="15" t="s">
        <v>65</v>
      </c>
    </row>
    <row r="17" ht="38" customHeight="1" spans="1:7">
      <c r="A17" s="2" t="s">
        <v>89</v>
      </c>
      <c r="B17" s="11" t="s">
        <v>90</v>
      </c>
      <c r="C17" s="11" t="s">
        <v>91</v>
      </c>
      <c r="D17" s="12"/>
      <c r="E17" s="13"/>
      <c r="F17" s="13"/>
      <c r="G17" s="15" t="s">
        <v>65</v>
      </c>
    </row>
    <row r="18" ht="22" customHeight="1" spans="1:7">
      <c r="A18" s="9" t="s">
        <v>92</v>
      </c>
      <c r="B18" s="10"/>
      <c r="C18" s="10"/>
      <c r="D18" s="10"/>
      <c r="E18" s="10"/>
      <c r="F18" s="10"/>
      <c r="G18" s="10"/>
    </row>
    <row r="19" ht="38" customHeight="1" spans="1:7">
      <c r="A19" s="2" t="s">
        <v>93</v>
      </c>
      <c r="B19" s="11" t="s">
        <v>94</v>
      </c>
      <c r="C19" s="11" t="s">
        <v>95</v>
      </c>
      <c r="D19" s="12"/>
      <c r="E19" s="13"/>
      <c r="F19" s="13"/>
      <c r="G19" s="14" t="s">
        <v>30</v>
      </c>
    </row>
    <row r="20" ht="38" customHeight="1" spans="1:7">
      <c r="A20" s="2" t="s">
        <v>96</v>
      </c>
      <c r="B20" s="11" t="s">
        <v>97</v>
      </c>
      <c r="C20" s="11" t="s">
        <v>98</v>
      </c>
      <c r="D20" s="12"/>
      <c r="E20" s="13"/>
      <c r="F20" s="13"/>
      <c r="G20" s="14" t="s">
        <v>30</v>
      </c>
    </row>
  </sheetData>
  <mergeCells count="5">
    <mergeCell ref="A1:G1"/>
    <mergeCell ref="A2:G2"/>
    <mergeCell ref="A4:G4"/>
    <mergeCell ref="A9:G9"/>
    <mergeCell ref="A18:G18"/>
  </mergeCells>
  <dataValidations count="1">
    <dataValidation type="list" allowBlank="1" errorTitle="输入无效" error="请从下拉列表中选择" sqref="D5:D8 D10:D17 D19:D20">
      <formula1>"一致,不一致（见E列）,不确定,不适用"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ySplit="3" topLeftCell="A4" activePane="bottomLeft" state="frozen"/>
      <selection/>
      <selection pane="bottomLeft" activeCell="A1" sqref="A1:G1"/>
    </sheetView>
  </sheetViews>
  <sheetFormatPr defaultColWidth="9" defaultRowHeight="13.5" outlineLevelCol="6"/>
  <cols>
    <col min="1" max="1" width="9" customWidth="1"/>
    <col min="2" max="2" width="38" customWidth="1"/>
    <col min="3" max="3" width="50" customWidth="1"/>
    <col min="4" max="4" width="15" customWidth="1"/>
    <col min="5" max="5" width="40" customWidth="1"/>
    <col min="6" max="6" width="24" customWidth="1"/>
    <col min="7" max="7" width="9" customWidth="1"/>
  </cols>
  <sheetData>
    <row r="1" ht="32" customHeight="1" spans="1:7">
      <c r="A1" s="7" t="s">
        <v>99</v>
      </c>
    </row>
    <row r="2" ht="34" customHeight="1" spans="1:7">
      <c r="A2" s="8" t="s">
        <v>100</v>
      </c>
    </row>
    <row r="3" ht="26" customHeight="1" spans="1:7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11</v>
      </c>
    </row>
    <row r="4" ht="22" customHeight="1" spans="1:7">
      <c r="A4" s="9" t="s">
        <v>101</v>
      </c>
      <c r="B4" s="10"/>
      <c r="C4" s="10"/>
      <c r="D4" s="10"/>
      <c r="E4" s="10"/>
      <c r="F4" s="10"/>
      <c r="G4" s="10"/>
    </row>
    <row r="5" ht="38" customHeight="1" spans="1:7">
      <c r="A5" s="2" t="s">
        <v>102</v>
      </c>
      <c r="B5" s="11" t="s">
        <v>103</v>
      </c>
      <c r="C5" s="11" t="s">
        <v>104</v>
      </c>
      <c r="D5" s="12"/>
      <c r="E5" s="13"/>
      <c r="F5" s="13"/>
      <c r="G5" s="14" t="s">
        <v>30</v>
      </c>
    </row>
    <row r="6" ht="38" customHeight="1" spans="1:7">
      <c r="A6" s="2" t="s">
        <v>105</v>
      </c>
      <c r="B6" s="11" t="s">
        <v>106</v>
      </c>
      <c r="C6" s="11" t="s">
        <v>107</v>
      </c>
      <c r="D6" s="12"/>
      <c r="E6" s="13"/>
      <c r="F6" s="13"/>
      <c r="G6" s="14" t="s">
        <v>30</v>
      </c>
    </row>
    <row r="7" ht="38" customHeight="1" spans="1:7">
      <c r="A7" s="2" t="s">
        <v>108</v>
      </c>
      <c r="B7" s="11" t="s">
        <v>109</v>
      </c>
      <c r="C7" s="11" t="s">
        <v>110</v>
      </c>
      <c r="D7" s="12"/>
      <c r="E7" s="13"/>
      <c r="F7" s="13"/>
      <c r="G7" s="15" t="s">
        <v>65</v>
      </c>
    </row>
    <row r="8" ht="38" customHeight="1" spans="1:7">
      <c r="A8" s="2" t="s">
        <v>111</v>
      </c>
      <c r="B8" s="11" t="s">
        <v>112</v>
      </c>
      <c r="C8" s="11" t="s">
        <v>113</v>
      </c>
      <c r="D8" s="12"/>
      <c r="E8" s="13"/>
      <c r="F8" s="13"/>
      <c r="G8" s="14" t="s">
        <v>30</v>
      </c>
    </row>
    <row r="9" ht="38" customHeight="1" spans="1:7">
      <c r="A9" s="2" t="s">
        <v>114</v>
      </c>
      <c r="B9" s="11" t="s">
        <v>115</v>
      </c>
      <c r="C9" s="11" t="s">
        <v>116</v>
      </c>
      <c r="D9" s="12"/>
      <c r="E9" s="13"/>
      <c r="F9" s="13"/>
      <c r="G9" s="15" t="s">
        <v>65</v>
      </c>
    </row>
    <row r="10" ht="38" customHeight="1" spans="1:7">
      <c r="A10" s="2" t="s">
        <v>117</v>
      </c>
      <c r="B10" s="11" t="s">
        <v>118</v>
      </c>
      <c r="C10" s="11" t="s">
        <v>119</v>
      </c>
      <c r="D10" s="12"/>
      <c r="E10" s="13"/>
      <c r="F10" s="13"/>
      <c r="G10" s="15" t="s">
        <v>65</v>
      </c>
    </row>
    <row r="11" ht="22" customHeight="1" spans="1:7">
      <c r="A11" s="9" t="s">
        <v>120</v>
      </c>
      <c r="B11" s="10"/>
      <c r="C11" s="10"/>
      <c r="D11" s="10"/>
      <c r="E11" s="10"/>
      <c r="F11" s="10"/>
      <c r="G11" s="10"/>
    </row>
    <row r="12" ht="38" customHeight="1" spans="1:7">
      <c r="A12" s="2" t="s">
        <v>121</v>
      </c>
      <c r="B12" s="11" t="s">
        <v>122</v>
      </c>
      <c r="C12" s="11" t="s">
        <v>123</v>
      </c>
      <c r="D12" s="12"/>
      <c r="E12" s="13"/>
      <c r="F12" s="13"/>
      <c r="G12" s="14" t="s">
        <v>30</v>
      </c>
    </row>
    <row r="13" ht="38" customHeight="1" spans="1:7">
      <c r="A13" s="2" t="s">
        <v>124</v>
      </c>
      <c r="B13" s="11" t="s">
        <v>125</v>
      </c>
      <c r="C13" s="11" t="s">
        <v>126</v>
      </c>
      <c r="D13" s="12"/>
      <c r="E13" s="13"/>
      <c r="F13" s="13"/>
      <c r="G13" s="14" t="s">
        <v>30</v>
      </c>
    </row>
    <row r="14" ht="38" customHeight="1" spans="1:7">
      <c r="A14" s="2" t="s">
        <v>127</v>
      </c>
      <c r="B14" s="11" t="s">
        <v>128</v>
      </c>
      <c r="C14" s="11" t="s">
        <v>129</v>
      </c>
      <c r="D14" s="12"/>
      <c r="E14" s="13"/>
      <c r="F14" s="13"/>
      <c r="G14" s="14" t="s">
        <v>30</v>
      </c>
    </row>
    <row r="15" ht="38" customHeight="1" spans="1:7">
      <c r="A15" s="2" t="s">
        <v>130</v>
      </c>
      <c r="B15" s="11" t="s">
        <v>131</v>
      </c>
      <c r="C15" s="11" t="s">
        <v>132</v>
      </c>
      <c r="D15" s="12"/>
      <c r="E15" s="13"/>
      <c r="F15" s="13"/>
      <c r="G15" s="14" t="s">
        <v>30</v>
      </c>
    </row>
    <row r="16" ht="38" customHeight="1" spans="1:7">
      <c r="A16" s="2" t="s">
        <v>133</v>
      </c>
      <c r="B16" s="11" t="s">
        <v>134</v>
      </c>
      <c r="C16" s="11" t="s">
        <v>135</v>
      </c>
      <c r="D16" s="12"/>
      <c r="E16" s="13"/>
      <c r="F16" s="13"/>
      <c r="G16" s="14" t="s">
        <v>30</v>
      </c>
    </row>
    <row r="17" ht="68" customHeight="1" spans="1:7">
      <c r="A17" s="2" t="s">
        <v>136</v>
      </c>
      <c r="B17" s="11" t="s">
        <v>137</v>
      </c>
      <c r="C17" s="11" t="s">
        <v>138</v>
      </c>
      <c r="D17" s="12"/>
      <c r="E17" s="13"/>
      <c r="F17" s="13"/>
      <c r="G17" s="14" t="s">
        <v>30</v>
      </c>
    </row>
    <row r="18" ht="38" customHeight="1" spans="1:7">
      <c r="A18" s="2" t="s">
        <v>139</v>
      </c>
      <c r="B18" s="11" t="s">
        <v>140</v>
      </c>
      <c r="C18" s="11" t="s">
        <v>141</v>
      </c>
      <c r="D18" s="12"/>
      <c r="E18" s="13"/>
      <c r="F18" s="13"/>
      <c r="G18" s="15" t="s">
        <v>65</v>
      </c>
    </row>
    <row r="19" ht="38" customHeight="1" spans="1:7">
      <c r="A19" s="2" t="s">
        <v>142</v>
      </c>
      <c r="B19" s="11" t="s">
        <v>143</v>
      </c>
      <c r="C19" s="11" t="s">
        <v>144</v>
      </c>
      <c r="D19" s="12"/>
      <c r="E19" s="13"/>
      <c r="F19" s="13"/>
      <c r="G19" s="14" t="s">
        <v>30</v>
      </c>
    </row>
    <row r="20" ht="38" customHeight="1" spans="1:7">
      <c r="A20" s="2" t="s">
        <v>145</v>
      </c>
      <c r="B20" s="11" t="s">
        <v>146</v>
      </c>
      <c r="C20" s="11" t="s">
        <v>72</v>
      </c>
      <c r="D20" s="12"/>
      <c r="E20" s="13"/>
      <c r="F20" s="13"/>
      <c r="G20" s="15" t="s">
        <v>65</v>
      </c>
    </row>
    <row r="21" ht="38" customHeight="1" spans="1:7">
      <c r="A21" s="2" t="s">
        <v>147</v>
      </c>
      <c r="B21" s="11" t="s">
        <v>148</v>
      </c>
      <c r="C21" s="11" t="s">
        <v>149</v>
      </c>
      <c r="D21" s="12"/>
      <c r="E21" s="13"/>
      <c r="F21" s="13"/>
      <c r="G21" s="15" t="s">
        <v>65</v>
      </c>
    </row>
  </sheetData>
  <mergeCells count="4">
    <mergeCell ref="A1:G1"/>
    <mergeCell ref="A2:G2"/>
    <mergeCell ref="A4:G4"/>
    <mergeCell ref="A11:G11"/>
  </mergeCells>
  <dataValidations count="1">
    <dataValidation type="list" allowBlank="1" errorTitle="输入无效" error="请从下拉列表中选择" sqref="D5:D10 D12:D21">
      <formula1>"一致,不一致（见E列）,不确定,不适用"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pane ySplit="3" topLeftCell="A4" activePane="bottomLeft" state="frozen"/>
      <selection/>
      <selection pane="bottomLeft" activeCell="A1" sqref="A1:G1"/>
    </sheetView>
  </sheetViews>
  <sheetFormatPr defaultColWidth="9" defaultRowHeight="13.5" outlineLevelCol="6"/>
  <cols>
    <col min="1" max="1" width="9" customWidth="1"/>
    <col min="2" max="2" width="38" customWidth="1"/>
    <col min="3" max="3" width="50" customWidth="1"/>
    <col min="4" max="4" width="15" customWidth="1"/>
    <col min="5" max="5" width="40" customWidth="1"/>
    <col min="6" max="6" width="24" customWidth="1"/>
    <col min="7" max="7" width="9" customWidth="1"/>
  </cols>
  <sheetData>
    <row r="1" ht="32" customHeight="1" spans="1:7">
      <c r="A1" s="7" t="s">
        <v>150</v>
      </c>
    </row>
    <row r="2" ht="34" customHeight="1" spans="1:7">
      <c r="A2" s="8" t="s">
        <v>151</v>
      </c>
    </row>
    <row r="3" ht="26" customHeight="1" spans="1:7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11</v>
      </c>
    </row>
    <row r="4" ht="22" customHeight="1" spans="1:7">
      <c r="A4" s="9" t="s">
        <v>152</v>
      </c>
      <c r="B4" s="10"/>
      <c r="C4" s="10"/>
      <c r="D4" s="10"/>
      <c r="E4" s="10"/>
      <c r="F4" s="10"/>
      <c r="G4" s="10"/>
    </row>
    <row r="5" ht="38" customHeight="1" spans="1:7">
      <c r="A5" s="2" t="s">
        <v>153</v>
      </c>
      <c r="B5" s="11" t="s">
        <v>154</v>
      </c>
      <c r="C5" s="11" t="s">
        <v>72</v>
      </c>
      <c r="D5" s="12"/>
      <c r="E5" s="13"/>
      <c r="F5" s="13"/>
      <c r="G5" s="14" t="s">
        <v>30</v>
      </c>
    </row>
    <row r="6" ht="38" customHeight="1" spans="1:7">
      <c r="A6" s="2" t="s">
        <v>155</v>
      </c>
      <c r="B6" s="11" t="s">
        <v>156</v>
      </c>
      <c r="C6" s="11" t="s">
        <v>72</v>
      </c>
      <c r="D6" s="12"/>
      <c r="E6" s="13"/>
      <c r="F6" s="13"/>
      <c r="G6" s="14" t="s">
        <v>30</v>
      </c>
    </row>
    <row r="7" ht="38" customHeight="1" spans="1:7">
      <c r="A7" s="2" t="s">
        <v>157</v>
      </c>
      <c r="B7" s="11" t="s">
        <v>158</v>
      </c>
      <c r="C7" s="11" t="s">
        <v>72</v>
      </c>
      <c r="D7" s="12"/>
      <c r="E7" s="13"/>
      <c r="F7" s="13"/>
      <c r="G7" s="15" t="s">
        <v>65</v>
      </c>
    </row>
    <row r="8" ht="38" customHeight="1" spans="1:7">
      <c r="A8" s="2" t="s">
        <v>159</v>
      </c>
      <c r="B8" s="11" t="s">
        <v>160</v>
      </c>
      <c r="C8" s="11" t="s">
        <v>72</v>
      </c>
      <c r="D8" s="12"/>
      <c r="E8" s="13"/>
      <c r="F8" s="13"/>
      <c r="G8" s="15" t="s">
        <v>65</v>
      </c>
    </row>
    <row r="9" ht="38" customHeight="1" spans="1:7">
      <c r="A9" s="2" t="s">
        <v>161</v>
      </c>
      <c r="B9" s="11" t="s">
        <v>162</v>
      </c>
      <c r="C9" s="11" t="s">
        <v>163</v>
      </c>
      <c r="D9" s="12"/>
      <c r="E9" s="13"/>
      <c r="F9" s="13"/>
      <c r="G9" s="15" t="s">
        <v>65</v>
      </c>
    </row>
    <row r="10" ht="22" customHeight="1" spans="1:7">
      <c r="A10" s="9" t="s">
        <v>164</v>
      </c>
      <c r="B10" s="10"/>
      <c r="C10" s="10"/>
      <c r="D10" s="10"/>
      <c r="E10" s="10"/>
      <c r="F10" s="10"/>
      <c r="G10" s="10"/>
    </row>
    <row r="11" ht="38" customHeight="1" spans="1:7">
      <c r="A11" s="2" t="s">
        <v>165</v>
      </c>
      <c r="B11" s="11" t="s">
        <v>166</v>
      </c>
      <c r="C11" s="11" t="s">
        <v>167</v>
      </c>
      <c r="D11" s="12"/>
      <c r="E11" s="13"/>
      <c r="F11" s="13"/>
      <c r="G11" s="15" t="s">
        <v>65</v>
      </c>
    </row>
    <row r="12" ht="38" customHeight="1" spans="1:7">
      <c r="A12" s="2" t="s">
        <v>168</v>
      </c>
      <c r="B12" s="11" t="s">
        <v>169</v>
      </c>
      <c r="C12" s="11" t="s">
        <v>72</v>
      </c>
      <c r="D12" s="12"/>
      <c r="E12" s="13"/>
      <c r="F12" s="13"/>
      <c r="G12" s="15" t="s">
        <v>65</v>
      </c>
    </row>
    <row r="13" ht="38" customHeight="1" spans="1:7">
      <c r="A13" s="2" t="s">
        <v>170</v>
      </c>
      <c r="B13" s="11" t="s">
        <v>171</v>
      </c>
      <c r="C13" s="11" t="s">
        <v>72</v>
      </c>
      <c r="D13" s="12"/>
      <c r="E13" s="13"/>
      <c r="F13" s="13"/>
      <c r="G13" s="15" t="s">
        <v>65</v>
      </c>
    </row>
    <row r="14" ht="38" customHeight="1" spans="1:7">
      <c r="A14" s="2" t="s">
        <v>172</v>
      </c>
      <c r="B14" s="11" t="s">
        <v>173</v>
      </c>
      <c r="C14" s="11" t="s">
        <v>72</v>
      </c>
      <c r="D14" s="12"/>
      <c r="E14" s="13"/>
      <c r="F14" s="13"/>
      <c r="G14" s="15" t="s">
        <v>65</v>
      </c>
    </row>
    <row r="15" ht="38" customHeight="1" spans="1:7">
      <c r="A15" s="2" t="s">
        <v>174</v>
      </c>
      <c r="B15" s="11" t="s">
        <v>175</v>
      </c>
      <c r="C15" s="11" t="s">
        <v>72</v>
      </c>
      <c r="D15" s="12"/>
      <c r="E15" s="13"/>
      <c r="F15" s="13"/>
      <c r="G15" s="15" t="s">
        <v>65</v>
      </c>
    </row>
    <row r="16" ht="38" customHeight="1" spans="1:7">
      <c r="A16" s="2" t="s">
        <v>176</v>
      </c>
      <c r="B16" s="11" t="s">
        <v>177</v>
      </c>
      <c r="C16" s="11" t="s">
        <v>178</v>
      </c>
      <c r="D16" s="12"/>
      <c r="E16" s="13"/>
      <c r="F16" s="13"/>
      <c r="G16" s="14" t="s">
        <v>30</v>
      </c>
    </row>
  </sheetData>
  <mergeCells count="4">
    <mergeCell ref="A1:G1"/>
    <mergeCell ref="A2:G2"/>
    <mergeCell ref="A4:G4"/>
    <mergeCell ref="A10:G10"/>
  </mergeCells>
  <dataValidations count="1">
    <dataValidation type="list" allowBlank="1" errorTitle="输入无效" error="请从下拉列表中选择" sqref="D5:D9 D11:D16">
      <formula1>"一致,不一致（见E列）,不确定,不适用"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3.5" outlineLevelRow="5" outlineLevelCol="4"/>
  <cols>
    <col min="1" max="1" width="24" customWidth="1"/>
    <col min="2" max="2" width="10" customWidth="1"/>
    <col min="3" max="3" width="22" customWidth="1"/>
    <col min="4" max="4" width="18" customWidth="1"/>
    <col min="5" max="5" width="14" customWidth="1"/>
  </cols>
  <sheetData>
    <row r="1" ht="30" customHeight="1" spans="1:5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</row>
    <row r="2" spans="1:5">
      <c r="A2" s="2" t="s">
        <v>18</v>
      </c>
      <c r="B2" s="2">
        <v>7</v>
      </c>
      <c r="C2" s="2">
        <f>COUNTIF('L1-需求本质'!$D$5:$D$7,"&lt;&gt;")+COUNTIF('L1-需求本质'!$D$9:$D$12,"&lt;&gt;")</f>
        <v>0</v>
      </c>
      <c r="D2" s="2">
        <f>COUNTIF('L1-需求本质'!$E$5:$E$7,"&lt;&gt;")+COUNTIF('L1-需求本质'!$E$9:$E$12,"&lt;&gt;")</f>
        <v>0</v>
      </c>
      <c r="E2" s="3">
        <f>IF(B2=0,0,C2/B2)</f>
        <v>0</v>
      </c>
    </row>
    <row r="3" spans="1:5">
      <c r="A3" s="2" t="s">
        <v>50</v>
      </c>
      <c r="B3" s="2">
        <v>14</v>
      </c>
      <c r="C3" s="2">
        <f>COUNTIF('L2-业务范围与流程'!$D$5:$D$8,"&lt;&gt;")+COUNTIF('L2-业务范围与流程'!$D$10:$D$17,"&lt;&gt;")+COUNTIF('L2-业务范围与流程'!$D$19:$D$20,"&lt;&gt;")</f>
        <v>0</v>
      </c>
      <c r="D3" s="2">
        <f>COUNTIF('L2-业务范围与流程'!$E$5:$E$8,"&lt;&gt;")+COUNTIF('L2-业务范围与流程'!$E$10:$E$17,"&lt;&gt;")+COUNTIF('L2-业务范围与流程'!$E$19:$E$20,"&lt;&gt;")</f>
        <v>0</v>
      </c>
      <c r="E3" s="3">
        <f>IF(B3=0,0,C3/B3)</f>
        <v>0</v>
      </c>
    </row>
    <row r="4" spans="1:5">
      <c r="A4" s="2" t="s">
        <v>99</v>
      </c>
      <c r="B4" s="2">
        <v>16</v>
      </c>
      <c r="C4" s="2">
        <f>COUNTIF('L3-规则与算法'!$D$5:$D$10,"&lt;&gt;")+COUNTIF('L3-规则与算法'!$D$12:$D$21,"&lt;&gt;")</f>
        <v>0</v>
      </c>
      <c r="D4" s="2">
        <f>COUNTIF('L3-规则与算法'!$E$5:$E$10,"&lt;&gt;")+COUNTIF('L3-规则与算法'!$E$12:$E$21,"&lt;&gt;")</f>
        <v>0</v>
      </c>
      <c r="E4" s="3">
        <f>IF(B4=0,0,C4/B4)</f>
        <v>0</v>
      </c>
    </row>
    <row r="5" spans="1:5">
      <c r="A5" s="2" t="s">
        <v>150</v>
      </c>
      <c r="B5" s="2">
        <v>11</v>
      </c>
      <c r="C5" s="2">
        <f>COUNTIF('L4-数据与集成'!$D$5:$D$9,"&lt;&gt;")+COUNTIF('L4-数据与集成'!$D$11:$D$16,"&lt;&gt;")</f>
        <v>0</v>
      </c>
      <c r="D5" s="2">
        <f>COUNTIF('L4-数据与集成'!$E$5:$E$9,"&lt;&gt;")+COUNTIF('L4-数据与集成'!$E$11:$E$16,"&lt;&gt;")</f>
        <v>0</v>
      </c>
      <c r="E5" s="3">
        <f>IF(B5=0,0,C5/B5)</f>
        <v>0</v>
      </c>
    </row>
    <row r="6" spans="1:5">
      <c r="A6" s="4" t="s">
        <v>184</v>
      </c>
      <c r="B6" s="5">
        <f>SUM(B2:B5)</f>
        <v>48</v>
      </c>
      <c r="C6" s="5">
        <f>SUM(C2:C5)</f>
        <v>0</v>
      </c>
      <c r="D6" s="5">
        <f>SUM(D2:D5)</f>
        <v>0</v>
      </c>
      <c r="E6" s="6">
        <f>IF(B6=0,0,C6/B6)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填写说明</vt:lpstr>
      <vt:lpstr>L1-需求本质</vt:lpstr>
      <vt:lpstr>L2-业务范围与流程</vt:lpstr>
      <vt:lpstr>L3-规则与算法</vt:lpstr>
      <vt:lpstr>L4-数据与集成</vt:lpstr>
      <vt:lpstr>填写进度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林原</cp:lastModifiedBy>
  <dcterms:created xsi:type="dcterms:W3CDTF">2026-10-03T07:53:00Z</dcterms:created>
  <dcterms:modified xsi:type="dcterms:W3CDTF">2026-10-03T07:59:49Z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AFA31CFE7D3341BCAC6D4BFBE99636F1_12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